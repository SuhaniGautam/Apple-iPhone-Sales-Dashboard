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371598-4E87-4D59-A60A-0AFD41FCA1A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 Data" sheetId="1" r:id="rId1"/>
    <sheet name="Dashboard" sheetId="2" r:id="rId2"/>
    <sheet name="Analysis" sheetId="3" r:id="rId3"/>
    <sheet name="AI Insights" sheetId="4" r:id="rId4"/>
    <sheet name="Project Guide" sheetId="5" r:id="rId5"/>
  </sheets>
  <definedNames>
    <definedName name="_xlnm._FilterDatabase" localSheetId="0" hidden="1">'Sales Data'!$A$1:$I$41</definedName>
  </definedNames>
  <calcPr calcId="191029"/>
</workbook>
</file>

<file path=xl/calcChain.xml><?xml version="1.0" encoding="utf-8"?>
<calcChain xmlns="http://schemas.openxmlformats.org/spreadsheetml/2006/main">
  <c r="C18" i="3" l="1"/>
  <c r="B18" i="3"/>
  <c r="B17" i="3"/>
  <c r="B12" i="3"/>
  <c r="B11" i="3"/>
  <c r="C10" i="3"/>
  <c r="D10" i="3" s="1"/>
  <c r="B10" i="3"/>
  <c r="B9" i="3"/>
  <c r="H8" i="3"/>
  <c r="G8" i="3"/>
  <c r="B8" i="3"/>
  <c r="G7" i="3"/>
  <c r="B7" i="3"/>
  <c r="G6" i="3"/>
  <c r="B6" i="3"/>
  <c r="H5" i="3"/>
  <c r="G5" i="3"/>
  <c r="B5" i="3"/>
  <c r="F19" i="2"/>
  <c r="F18" i="2"/>
  <c r="B17" i="2"/>
  <c r="B16" i="2"/>
  <c r="B15" i="2"/>
  <c r="B14" i="2"/>
  <c r="B13" i="2"/>
  <c r="B12" i="2"/>
  <c r="G5" i="2" s="1"/>
  <c r="B11" i="2"/>
  <c r="F10" i="2"/>
  <c r="B10" i="2"/>
  <c r="C5" i="2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C11" i="3" s="1"/>
  <c r="D11" i="3" s="1"/>
  <c r="I18" i="1"/>
  <c r="I17" i="1"/>
  <c r="I16" i="1"/>
  <c r="C8" i="3" s="1"/>
  <c r="D8" i="3" s="1"/>
  <c r="I15" i="1"/>
  <c r="C7" i="3" s="1"/>
  <c r="D7" i="3" s="1"/>
  <c r="I14" i="1"/>
  <c r="I13" i="1"/>
  <c r="I12" i="1"/>
  <c r="I11" i="1"/>
  <c r="C12" i="3" s="1"/>
  <c r="D12" i="3" s="1"/>
  <c r="I10" i="1"/>
  <c r="I9" i="1"/>
  <c r="C15" i="2" s="1"/>
  <c r="I8" i="1"/>
  <c r="I7" i="1"/>
  <c r="C14" i="2" s="1"/>
  <c r="I6" i="1"/>
  <c r="I5" i="1"/>
  <c r="F13" i="2" s="1"/>
  <c r="I4" i="1"/>
  <c r="H7" i="3" s="1"/>
  <c r="I3" i="1"/>
  <c r="H6" i="3" s="1"/>
  <c r="I2" i="1"/>
  <c r="G20" i="3" s="1"/>
  <c r="C10" i="2" l="1"/>
  <c r="F11" i="2"/>
  <c r="C16" i="2"/>
  <c r="E5" i="2"/>
  <c r="C12" i="2"/>
  <c r="C17" i="2"/>
  <c r="C5" i="3"/>
  <c r="D5" i="3" s="1"/>
  <c r="C9" i="3"/>
  <c r="D9" i="3" s="1"/>
  <c r="C17" i="3"/>
  <c r="G18" i="3"/>
  <c r="C13" i="2"/>
  <c r="A5" i="2"/>
  <c r="C11" i="2"/>
  <c r="F12" i="2"/>
  <c r="C6" i="3"/>
  <c r="D6" i="3" s="1"/>
  <c r="G17" i="3"/>
  <c r="G19" i="3"/>
</calcChain>
</file>

<file path=xl/sharedStrings.xml><?xml version="1.0" encoding="utf-8"?>
<sst xmlns="http://schemas.openxmlformats.org/spreadsheetml/2006/main" count="361" uniqueCount="145">
  <si>
    <t>Date</t>
  </si>
  <si>
    <t>Product</t>
  </si>
  <si>
    <t>Storage</t>
  </si>
  <si>
    <t>Color</t>
  </si>
  <si>
    <t>City</t>
  </si>
  <si>
    <t>Sales Channel</t>
  </si>
  <si>
    <t>Units Sold</t>
  </si>
  <si>
    <t>Unit Price (₹)</t>
  </si>
  <si>
    <t>Revenue (₹)</t>
  </si>
  <si>
    <t>2026-01-03</t>
  </si>
  <si>
    <t>iPhone 15</t>
  </si>
  <si>
    <t>128GB</t>
  </si>
  <si>
    <t>Black</t>
  </si>
  <si>
    <t>Jabalpur</t>
  </si>
  <si>
    <t>Online</t>
  </si>
  <si>
    <t>2026-01-05</t>
  </si>
  <si>
    <t>Blue</t>
  </si>
  <si>
    <t>Satna</t>
  </si>
  <si>
    <t>Retail</t>
  </si>
  <si>
    <t>2026-01-08</t>
  </si>
  <si>
    <t>iPhone 15 Plus</t>
  </si>
  <si>
    <t>Pink</t>
  </si>
  <si>
    <t>Bhopal</t>
  </si>
  <si>
    <t>2026-01-10</t>
  </si>
  <si>
    <t>iPhone 15 Pro</t>
  </si>
  <si>
    <t>256GB</t>
  </si>
  <si>
    <t>Natural Titanium</t>
  </si>
  <si>
    <t>Indore</t>
  </si>
  <si>
    <t>2026-01-12</t>
  </si>
  <si>
    <t>iPhone 15 Pro Max</t>
  </si>
  <si>
    <t>Blue Titanium</t>
  </si>
  <si>
    <t>2026-01-15</t>
  </si>
  <si>
    <t>iPhone 16</t>
  </si>
  <si>
    <t>2026-01-18</t>
  </si>
  <si>
    <t>2026-01-20</t>
  </si>
  <si>
    <t>iPhone 16 Plus</t>
  </si>
  <si>
    <t>Ultramarine</t>
  </si>
  <si>
    <t>2026-01-22</t>
  </si>
  <si>
    <t>iPhone 16 Pro</t>
  </si>
  <si>
    <t>Desert Titanium</t>
  </si>
  <si>
    <t>2026-01-25</t>
  </si>
  <si>
    <t>iPhone 16 Pro Max</t>
  </si>
  <si>
    <t>Black Titanium</t>
  </si>
  <si>
    <t>2026-01-28</t>
  </si>
  <si>
    <t>Green</t>
  </si>
  <si>
    <t>2026-02-02</t>
  </si>
  <si>
    <t>2026-02-04</t>
  </si>
  <si>
    <t>2026-02-07</t>
  </si>
  <si>
    <t>2026-02-09</t>
  </si>
  <si>
    <t>White Titanium</t>
  </si>
  <si>
    <t>2026-02-12</t>
  </si>
  <si>
    <t>Teal</t>
  </si>
  <si>
    <t>2026-02-15</t>
  </si>
  <si>
    <t>2026-02-18</t>
  </si>
  <si>
    <t>2026-02-21</t>
  </si>
  <si>
    <t>2026-02-24</t>
  </si>
  <si>
    <t>2026-02-27</t>
  </si>
  <si>
    <t>2026-03-01</t>
  </si>
  <si>
    <t>2026-03-04</t>
  </si>
  <si>
    <t>512GB</t>
  </si>
  <si>
    <t>2026-03-07</t>
  </si>
  <si>
    <t>2026-03-10</t>
  </si>
  <si>
    <t>2026-03-13</t>
  </si>
  <si>
    <t>2026-03-16</t>
  </si>
  <si>
    <t>2026-03-19</t>
  </si>
  <si>
    <t>2026-03-22</t>
  </si>
  <si>
    <t>2026-03-25</t>
  </si>
  <si>
    <t>2026-03-28</t>
  </si>
  <si>
    <t>2026-04-01</t>
  </si>
  <si>
    <t>2026-04-04</t>
  </si>
  <si>
    <t>2026-04-07</t>
  </si>
  <si>
    <t>2026-04-10</t>
  </si>
  <si>
    <t>2026-04-13</t>
  </si>
  <si>
    <t>2026-04-16</t>
  </si>
  <si>
    <t>2026-04-19</t>
  </si>
  <si>
    <t>2026-04-22</t>
  </si>
  <si>
    <t>2026-04-25</t>
  </si>
  <si>
    <t>Apple iPhone – AI-Assisted Sales Dashboard</t>
  </si>
  <si>
    <t>Key Performance Indicators</t>
  </si>
  <si>
    <t>Total Revenue</t>
  </si>
  <si>
    <t>Total Units</t>
  </si>
  <si>
    <t>Average Order Value</t>
  </si>
  <si>
    <t>Best Product</t>
  </si>
  <si>
    <t>Product-wise Sales</t>
  </si>
  <si>
    <t>City-wise Revenue</t>
  </si>
  <si>
    <t>Units</t>
  </si>
  <si>
    <t>Revenue</t>
  </si>
  <si>
    <t>Channel</t>
  </si>
  <si>
    <t>AI-Assisted Insights</t>
  </si>
  <si>
    <t>1. Use Pivot Tables to identify the highest-selling iPhone model and city.</t>
  </si>
  <si>
    <t>2. Focus promotions on products with high unit sales but lower revenue.</t>
  </si>
  <si>
    <t>3. Compare Online vs Retail sales to identify the stronger sales channel.</t>
  </si>
  <si>
    <t>4. Track monthly revenue to spot growth or decline trends.</t>
  </si>
  <si>
    <t>5. Prioritize inventory for the best-performing iPhone models.</t>
  </si>
  <si>
    <t>Detailed Sales Analysis</t>
  </si>
  <si>
    <t>Product-wise Analysis</t>
  </si>
  <si>
    <t>City-wise Analysis</t>
  </si>
  <si>
    <t>Avg Revenue/Record (₹)</t>
  </si>
  <si>
    <t>Sales Channel Analysis</t>
  </si>
  <si>
    <t>Monthly Revenue Analysis</t>
  </si>
  <si>
    <t>Month</t>
  </si>
  <si>
    <t>Jan-2026</t>
  </si>
  <si>
    <t>Feb-2026</t>
  </si>
  <si>
    <t>Mar-2026</t>
  </si>
  <si>
    <t>Apr-2026</t>
  </si>
  <si>
    <t>AI-Assisted Business Insights</t>
  </si>
  <si>
    <t>Business Question</t>
  </si>
  <si>
    <t>AI-Assisted Insight</t>
  </si>
  <si>
    <t>Recommended Action</t>
  </si>
  <si>
    <t>Which product should be prioritized?</t>
  </si>
  <si>
    <t>Compare product revenue and units in the Analysis sheet.</t>
  </si>
  <si>
    <t>Keep higher-performing iPhone models in stronger inventory.</t>
  </si>
  <si>
    <t>Which city is strongest?</t>
  </si>
  <si>
    <t>Use city-wise revenue to identify the leading market.</t>
  </si>
  <si>
    <t>Run targeted promotions in the strongest city.</t>
  </si>
  <si>
    <t>Which channel performs better?</t>
  </si>
  <si>
    <t>Compare Online and Retail units/revenue.</t>
  </si>
  <si>
    <t>Allocate more promotion budget to the stronger channel.</t>
  </si>
  <si>
    <t>What is the sales trend?</t>
  </si>
  <si>
    <t>Review monthly revenue from Jan–Apr 2026.</t>
  </si>
  <si>
    <t>Investigate months with lower revenue and plan offers.</t>
  </si>
  <si>
    <t>How can sales improve?</t>
  </si>
  <si>
    <t>Promote popular models and use city/channel insights.</t>
  </si>
  <si>
    <t>Create model-specific offers and improve inventory planning.</t>
  </si>
  <si>
    <t>AI Tools / Excel Features Used</t>
  </si>
  <si>
    <t>• Excel formulas: SUM, AVERAGE, SUMIF, COUNTIF, INDEX, MATCH</t>
  </si>
  <si>
    <t>• Data filtering and structured sales data</t>
  </si>
  <si>
    <t>• Charts and KPI dashboard</t>
  </si>
  <si>
    <t>• AI-assisted interpretation and business recommendations</t>
  </si>
  <si>
    <t>Important Note</t>
  </si>
  <si>
    <t>AI was used to support analysis, identify patterns, generate business questions and suggest actionable insights. Final conclusions were based on the Excel sales data.</t>
  </si>
  <si>
    <t>Project: Excel – AI-Assisted Sales Dashboard</t>
  </si>
  <si>
    <t>Objective</t>
  </si>
  <si>
    <t>Analyze Apple iPhone sales using Excel formulas, summaries, charts, dashboard design and AI-assisted business insights.</t>
  </si>
  <si>
    <t>Dataset</t>
  </si>
  <si>
    <t>40 sales records covering iPhone models, storage, color, city, sales channel, units sold, unit price and revenue.</t>
  </si>
  <si>
    <t>Sheets</t>
  </si>
  <si>
    <t>Sales Data, Dashboard, Analysis, AI Insights, Project Guide</t>
  </si>
  <si>
    <t>Excel Skills Used</t>
  </si>
  <si>
    <t>SUM, AVERAGE, SUMIF, COUNTIF, INDEX, MATCH, filtering, conditional formatting and charts.</t>
  </si>
  <si>
    <t>AI Assistance</t>
  </si>
  <si>
    <t>AI was used for KPI ideas, business questions, pattern interpretation and recommendations.</t>
  </si>
  <si>
    <t>How to Present</t>
  </si>
  <si>
    <t>Open Dashboard → explain KPIs → show product/city/channel summaries → explain AI insights.</t>
  </si>
  <si>
    <t>Start with Dashboard → explain KPIs → show Analysis → explain AI Insights → finish with Project Guide/Viva.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</si>
</sst>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4"/>
      <name val="Calibri"/>
    </font>
    <font>
      <b/>
      <sz val="13"/>
      <name val="Calibri"/>
    </font>
    <font>
      <b/>
      <sz val="11"/>
      <name val="Calibri"/>
    </font>
    <font>
      <b/>
      <sz val="18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0" borderId="0" xfId="0" applyFont="1"/>
    <xf numFmtId="0" fontId="1" fillId="3" borderId="0" xfId="0" applyFont="1" applyFill="1"/>
    <xf numFmtId="165" fontId="4" fillId="0" borderId="0" xfId="0" applyNumberFormat="1" applyFont="1"/>
    <xf numFmtId="1" fontId="4" fillId="0" borderId="0" xfId="0" applyNumberFormat="1" applyFont="1"/>
    <xf numFmtId="0" fontId="1" fillId="4" borderId="0" xfId="0" applyFont="1" applyFill="1"/>
    <xf numFmtId="165" fontId="0" fillId="0" borderId="0" xfId="0" applyNumberForma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Dashboard!$A$10:$A$17</c:f>
              <c:strCache>
                <c:ptCount val="8"/>
                <c:pt idx="0">
                  <c:v>iPhone 15</c:v>
                </c:pt>
                <c:pt idx="1">
                  <c:v>iPhone 15 Plus</c:v>
                </c:pt>
                <c:pt idx="2">
                  <c:v>iPhone 15 Pro</c:v>
                </c:pt>
                <c:pt idx="3">
                  <c:v>iPhone 15 Pro Max</c:v>
                </c:pt>
                <c:pt idx="4">
                  <c:v>iPhone 16</c:v>
                </c:pt>
                <c:pt idx="5">
                  <c:v>iPhone 16 Plus</c:v>
                </c:pt>
                <c:pt idx="6">
                  <c:v>iPhone 16 Pro</c:v>
                </c:pt>
                <c:pt idx="7">
                  <c:v>iPhone 16 Pro Max</c:v>
                </c:pt>
              </c:strCache>
            </c:strRef>
          </c:cat>
          <c:val>
            <c:numRef>
              <c:f>Dashboard!$C$10:$C$17</c:f>
              <c:numCache>
                <c:formatCode>\₹#,##0</c:formatCode>
                <c:ptCount val="8"/>
                <c:pt idx="0">
                  <c:v>1040000</c:v>
                </c:pt>
                <c:pt idx="1">
                  <c:v>715000</c:v>
                </c:pt>
                <c:pt idx="2">
                  <c:v>720000</c:v>
                </c:pt>
                <c:pt idx="3">
                  <c:v>565000</c:v>
                </c:pt>
                <c:pt idx="4">
                  <c:v>980000</c:v>
                </c:pt>
                <c:pt idx="5">
                  <c:v>560000</c:v>
                </c:pt>
                <c:pt idx="6">
                  <c:v>1060000</c:v>
                </c:pt>
                <c:pt idx="7">
                  <c:v>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3-4ED6-A7B5-2405D271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Units by Sales Channel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"/>
          <c:y val="4.535714285714286E-2"/>
          <c:w val="0.62238888888888888"/>
          <c:h val="0.8891269841269841"/>
        </c:manualLayout>
      </c:layout>
      <c:pieChart>
        <c:varyColors val="1"/>
        <c:ser>
          <c:idx val="0"/>
          <c:order val="0"/>
          <c:tx>
            <c:strRef>
              <c:f>Dashboard!$F$17</c:f>
              <c:strCache>
                <c:ptCount val="1"/>
                <c:pt idx="0">
                  <c:v>Units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Dashboard!$E$18:$E$19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Dashboard!$F$18:$F$19</c:f>
              <c:numCache>
                <c:formatCode>General</c:formatCode>
                <c:ptCount val="2"/>
                <c:pt idx="0">
                  <c:v>38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1-45A1-B8E3-A515B4403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Analysis!$H$4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Analysis!$F$5:$F$8</c:f>
              <c:strCache>
                <c:ptCount val="4"/>
                <c:pt idx="0">
                  <c:v>Jabalpur</c:v>
                </c:pt>
                <c:pt idx="1">
                  <c:v>Satna</c:v>
                </c:pt>
                <c:pt idx="2">
                  <c:v>Bhopal</c:v>
                </c:pt>
                <c:pt idx="3">
                  <c:v>Indore</c:v>
                </c:pt>
              </c:strCache>
            </c:strRef>
          </c:cat>
          <c:val>
            <c:numRef>
              <c:f>Analysis!$H$5:$H$8</c:f>
              <c:numCache>
                <c:formatCode>\₹#,##0</c:formatCode>
                <c:ptCount val="4"/>
                <c:pt idx="0">
                  <c:v>1540000</c:v>
                </c:pt>
                <c:pt idx="1">
                  <c:v>1620000</c:v>
                </c:pt>
                <c:pt idx="2">
                  <c:v>1675000</c:v>
                </c:pt>
                <c:pt idx="3">
                  <c:v>1645000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2-4C8F-91E0-77CBE7FDE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Analysis!$G$16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Analysis!$F$17:$F$20</c:f>
              <c:strCache>
                <c:ptCount val="4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</c:strCache>
            </c:strRef>
          </c:cat>
          <c:val>
            <c:numRef>
              <c:f>Analysis!$G$17:$G$20</c:f>
              <c:numCache>
                <c:formatCode>\₹#,##0</c:formatCode>
                <c:ptCount val="4"/>
                <c:pt idx="0">
                  <c:v>1575000</c:v>
                </c:pt>
                <c:pt idx="1">
                  <c:v>1620000</c:v>
                </c:pt>
                <c:pt idx="2">
                  <c:v>1720000</c:v>
                </c:pt>
                <c:pt idx="3">
                  <c:v>1565000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D6-4463-82FE-957E181B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1089660</xdr:colOff>
      <xdr:row>29</xdr:row>
      <xdr:rowOff>144780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510540</xdr:colOff>
      <xdr:row>29</xdr:row>
      <xdr:rowOff>129540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876300</xdr:colOff>
      <xdr:row>21</xdr:row>
      <xdr:rowOff>175260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922020</xdr:colOff>
      <xdr:row>21</xdr:row>
      <xdr:rowOff>152400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pane ySplit="1" topLeftCell="A2" activePane="bottomLeft" state="frozen"/>
      <selection pane="bottomLeft" activeCell="D33" sqref="D33"/>
    </sheetView>
  </sheetViews>
  <sheetFormatPr defaultRowHeight="14.4" x14ac:dyDescent="0.3"/>
  <cols>
    <col min="1" max="1" width="14" customWidth="1"/>
    <col min="2" max="2" width="20" customWidth="1"/>
    <col min="3" max="3" width="12" customWidth="1"/>
    <col min="4" max="4" width="20" customWidth="1"/>
    <col min="5" max="5" width="14" customWidth="1"/>
    <col min="6" max="6" width="16" customWidth="1"/>
    <col min="7" max="7" width="12" customWidth="1"/>
    <col min="8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3</v>
      </c>
      <c r="H2" s="4">
        <v>55000</v>
      </c>
      <c r="I2" s="4">
        <f t="shared" ref="I2:I41" si="0">G2*H2</f>
        <v>165000</v>
      </c>
    </row>
    <row r="3" spans="1:9" x14ac:dyDescent="0.3">
      <c r="A3" s="2" t="s">
        <v>15</v>
      </c>
      <c r="B3" s="3" t="s">
        <v>10</v>
      </c>
      <c r="C3" s="3" t="s">
        <v>11</v>
      </c>
      <c r="D3" s="3" t="s">
        <v>16</v>
      </c>
      <c r="E3" s="3" t="s">
        <v>17</v>
      </c>
      <c r="F3" s="3" t="s">
        <v>18</v>
      </c>
      <c r="G3" s="3">
        <v>2</v>
      </c>
      <c r="H3" s="4">
        <v>55000</v>
      </c>
      <c r="I3" s="4">
        <f t="shared" si="0"/>
        <v>110000</v>
      </c>
    </row>
    <row r="4" spans="1:9" x14ac:dyDescent="0.3">
      <c r="A4" s="2" t="s">
        <v>19</v>
      </c>
      <c r="B4" s="3" t="s">
        <v>20</v>
      </c>
      <c r="C4" s="3" t="s">
        <v>11</v>
      </c>
      <c r="D4" s="3" t="s">
        <v>21</v>
      </c>
      <c r="E4" s="3" t="s">
        <v>22</v>
      </c>
      <c r="F4" s="3" t="s">
        <v>14</v>
      </c>
      <c r="G4" s="3">
        <v>2</v>
      </c>
      <c r="H4" s="4">
        <v>65000</v>
      </c>
      <c r="I4" s="4">
        <f t="shared" si="0"/>
        <v>130000</v>
      </c>
    </row>
    <row r="5" spans="1:9" x14ac:dyDescent="0.3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18</v>
      </c>
      <c r="G5" s="3">
        <v>2</v>
      </c>
      <c r="H5" s="4">
        <v>90000</v>
      </c>
      <c r="I5" s="4">
        <f t="shared" si="0"/>
        <v>180000</v>
      </c>
    </row>
    <row r="6" spans="1:9" x14ac:dyDescent="0.3">
      <c r="A6" s="2" t="s">
        <v>28</v>
      </c>
      <c r="B6" s="3" t="s">
        <v>29</v>
      </c>
      <c r="C6" s="3" t="s">
        <v>25</v>
      </c>
      <c r="D6" s="3" t="s">
        <v>30</v>
      </c>
      <c r="E6" s="3" t="s">
        <v>13</v>
      </c>
      <c r="F6" s="3" t="s">
        <v>14</v>
      </c>
      <c r="G6" s="3">
        <v>1</v>
      </c>
      <c r="H6" s="4">
        <v>110000</v>
      </c>
      <c r="I6" s="4">
        <f t="shared" si="0"/>
        <v>110000</v>
      </c>
    </row>
    <row r="7" spans="1:9" x14ac:dyDescent="0.3">
      <c r="A7" s="2" t="s">
        <v>31</v>
      </c>
      <c r="B7" s="3" t="s">
        <v>32</v>
      </c>
      <c r="C7" s="3" t="s">
        <v>11</v>
      </c>
      <c r="D7" s="3" t="s">
        <v>12</v>
      </c>
      <c r="E7" s="3" t="s">
        <v>17</v>
      </c>
      <c r="F7" s="3" t="s">
        <v>18</v>
      </c>
      <c r="G7" s="3">
        <v>3</v>
      </c>
      <c r="H7" s="4">
        <v>70000</v>
      </c>
      <c r="I7" s="4">
        <f t="shared" si="0"/>
        <v>210000</v>
      </c>
    </row>
    <row r="8" spans="1:9" x14ac:dyDescent="0.3">
      <c r="A8" s="2" t="s">
        <v>33</v>
      </c>
      <c r="B8" s="3" t="s">
        <v>32</v>
      </c>
      <c r="C8" s="3" t="s">
        <v>11</v>
      </c>
      <c r="D8" s="3" t="s">
        <v>21</v>
      </c>
      <c r="E8" s="3" t="s">
        <v>22</v>
      </c>
      <c r="F8" s="3" t="s">
        <v>14</v>
      </c>
      <c r="G8" s="3">
        <v>2</v>
      </c>
      <c r="H8" s="4">
        <v>70000</v>
      </c>
      <c r="I8" s="4">
        <f t="shared" si="0"/>
        <v>140000</v>
      </c>
    </row>
    <row r="9" spans="1:9" x14ac:dyDescent="0.3">
      <c r="A9" s="2" t="s">
        <v>34</v>
      </c>
      <c r="B9" s="3" t="s">
        <v>35</v>
      </c>
      <c r="C9" s="3" t="s">
        <v>11</v>
      </c>
      <c r="D9" s="3" t="s">
        <v>36</v>
      </c>
      <c r="E9" s="3" t="s">
        <v>27</v>
      </c>
      <c r="F9" s="3" t="s">
        <v>18</v>
      </c>
      <c r="G9" s="3">
        <v>1</v>
      </c>
      <c r="H9" s="4">
        <v>80000</v>
      </c>
      <c r="I9" s="4">
        <f t="shared" si="0"/>
        <v>80000</v>
      </c>
    </row>
    <row r="10" spans="1:9" x14ac:dyDescent="0.3">
      <c r="A10" s="2" t="s">
        <v>37</v>
      </c>
      <c r="B10" s="3" t="s">
        <v>38</v>
      </c>
      <c r="C10" s="3" t="s">
        <v>11</v>
      </c>
      <c r="D10" s="3" t="s">
        <v>39</v>
      </c>
      <c r="E10" s="3" t="s">
        <v>13</v>
      </c>
      <c r="F10" s="3" t="s">
        <v>14</v>
      </c>
      <c r="G10" s="3">
        <v>2</v>
      </c>
      <c r="H10" s="4">
        <v>100000</v>
      </c>
      <c r="I10" s="4">
        <f t="shared" si="0"/>
        <v>200000</v>
      </c>
    </row>
    <row r="11" spans="1:9" x14ac:dyDescent="0.3">
      <c r="A11" s="2" t="s">
        <v>40</v>
      </c>
      <c r="B11" s="3" t="s">
        <v>41</v>
      </c>
      <c r="C11" s="3" t="s">
        <v>25</v>
      </c>
      <c r="D11" s="3" t="s">
        <v>42</v>
      </c>
      <c r="E11" s="3" t="s">
        <v>17</v>
      </c>
      <c r="F11" s="3" t="s">
        <v>18</v>
      </c>
      <c r="G11" s="3">
        <v>1</v>
      </c>
      <c r="H11" s="4">
        <v>120000</v>
      </c>
      <c r="I11" s="4">
        <f t="shared" si="0"/>
        <v>120000</v>
      </c>
    </row>
    <row r="12" spans="1:9" x14ac:dyDescent="0.3">
      <c r="A12" s="2" t="s">
        <v>43</v>
      </c>
      <c r="B12" s="3" t="s">
        <v>10</v>
      </c>
      <c r="C12" s="3" t="s">
        <v>25</v>
      </c>
      <c r="D12" s="3" t="s">
        <v>44</v>
      </c>
      <c r="E12" s="3" t="s">
        <v>22</v>
      </c>
      <c r="F12" s="3" t="s">
        <v>14</v>
      </c>
      <c r="G12" s="3">
        <v>2</v>
      </c>
      <c r="H12" s="4">
        <v>65000</v>
      </c>
      <c r="I12" s="4">
        <f t="shared" si="0"/>
        <v>130000</v>
      </c>
    </row>
    <row r="13" spans="1:9" x14ac:dyDescent="0.3">
      <c r="A13" s="2" t="s">
        <v>45</v>
      </c>
      <c r="B13" s="3" t="s">
        <v>10</v>
      </c>
      <c r="C13" s="3" t="s">
        <v>11</v>
      </c>
      <c r="D13" s="3" t="s">
        <v>12</v>
      </c>
      <c r="E13" s="3" t="s">
        <v>27</v>
      </c>
      <c r="F13" s="3" t="s">
        <v>18</v>
      </c>
      <c r="G13" s="3">
        <v>3</v>
      </c>
      <c r="H13" s="4">
        <v>55000</v>
      </c>
      <c r="I13" s="4">
        <f t="shared" si="0"/>
        <v>165000</v>
      </c>
    </row>
    <row r="14" spans="1:9" x14ac:dyDescent="0.3">
      <c r="A14" s="2" t="s">
        <v>46</v>
      </c>
      <c r="B14" s="3" t="s">
        <v>20</v>
      </c>
      <c r="C14" s="3" t="s">
        <v>11</v>
      </c>
      <c r="D14" s="3" t="s">
        <v>16</v>
      </c>
      <c r="E14" s="3" t="s">
        <v>13</v>
      </c>
      <c r="F14" s="3" t="s">
        <v>14</v>
      </c>
      <c r="G14" s="3">
        <v>2</v>
      </c>
      <c r="H14" s="4">
        <v>65000</v>
      </c>
      <c r="I14" s="4">
        <f t="shared" si="0"/>
        <v>130000</v>
      </c>
    </row>
    <row r="15" spans="1:9" x14ac:dyDescent="0.3">
      <c r="A15" s="2" t="s">
        <v>47</v>
      </c>
      <c r="B15" s="3" t="s">
        <v>24</v>
      </c>
      <c r="C15" s="3" t="s">
        <v>25</v>
      </c>
      <c r="D15" s="3" t="s">
        <v>42</v>
      </c>
      <c r="E15" s="3" t="s">
        <v>17</v>
      </c>
      <c r="F15" s="3" t="s">
        <v>18</v>
      </c>
      <c r="G15" s="3">
        <v>1</v>
      </c>
      <c r="H15" s="4">
        <v>90000</v>
      </c>
      <c r="I15" s="4">
        <f t="shared" si="0"/>
        <v>90000</v>
      </c>
    </row>
    <row r="16" spans="1:9" x14ac:dyDescent="0.3">
      <c r="A16" s="2" t="s">
        <v>48</v>
      </c>
      <c r="B16" s="3" t="s">
        <v>29</v>
      </c>
      <c r="C16" s="3" t="s">
        <v>25</v>
      </c>
      <c r="D16" s="3" t="s">
        <v>49</v>
      </c>
      <c r="E16" s="3" t="s">
        <v>22</v>
      </c>
      <c r="F16" s="3" t="s">
        <v>14</v>
      </c>
      <c r="G16" s="3">
        <v>2</v>
      </c>
      <c r="H16" s="4">
        <v>110000</v>
      </c>
      <c r="I16" s="4">
        <f t="shared" si="0"/>
        <v>220000</v>
      </c>
    </row>
    <row r="17" spans="1:9" x14ac:dyDescent="0.3">
      <c r="A17" s="2" t="s">
        <v>50</v>
      </c>
      <c r="B17" s="3" t="s">
        <v>32</v>
      </c>
      <c r="C17" s="3" t="s">
        <v>11</v>
      </c>
      <c r="D17" s="3" t="s">
        <v>51</v>
      </c>
      <c r="E17" s="3" t="s">
        <v>27</v>
      </c>
      <c r="F17" s="3" t="s">
        <v>18</v>
      </c>
      <c r="G17" s="3">
        <v>3</v>
      </c>
      <c r="H17" s="4">
        <v>70000</v>
      </c>
      <c r="I17" s="4">
        <f t="shared" si="0"/>
        <v>210000</v>
      </c>
    </row>
    <row r="18" spans="1:9" x14ac:dyDescent="0.3">
      <c r="A18" s="2" t="s">
        <v>52</v>
      </c>
      <c r="B18" s="3" t="s">
        <v>35</v>
      </c>
      <c r="C18" s="3" t="s">
        <v>11</v>
      </c>
      <c r="D18" s="3" t="s">
        <v>21</v>
      </c>
      <c r="E18" s="3" t="s">
        <v>13</v>
      </c>
      <c r="F18" s="3" t="s">
        <v>14</v>
      </c>
      <c r="G18" s="3">
        <v>2</v>
      </c>
      <c r="H18" s="4">
        <v>80000</v>
      </c>
      <c r="I18" s="4">
        <f t="shared" si="0"/>
        <v>160000</v>
      </c>
    </row>
    <row r="19" spans="1:9" x14ac:dyDescent="0.3">
      <c r="A19" s="2" t="s">
        <v>53</v>
      </c>
      <c r="B19" s="3" t="s">
        <v>38</v>
      </c>
      <c r="C19" s="3" t="s">
        <v>25</v>
      </c>
      <c r="D19" s="3" t="s">
        <v>26</v>
      </c>
      <c r="E19" s="3" t="s">
        <v>17</v>
      </c>
      <c r="F19" s="3" t="s">
        <v>18</v>
      </c>
      <c r="G19" s="3">
        <v>2</v>
      </c>
      <c r="H19" s="4">
        <v>110000</v>
      </c>
      <c r="I19" s="4">
        <f t="shared" si="0"/>
        <v>220000</v>
      </c>
    </row>
    <row r="20" spans="1:9" x14ac:dyDescent="0.3">
      <c r="A20" s="2" t="s">
        <v>54</v>
      </c>
      <c r="B20" s="3" t="s">
        <v>41</v>
      </c>
      <c r="C20" s="3" t="s">
        <v>25</v>
      </c>
      <c r="D20" s="3" t="s">
        <v>39</v>
      </c>
      <c r="E20" s="3" t="s">
        <v>22</v>
      </c>
      <c r="F20" s="3" t="s">
        <v>14</v>
      </c>
      <c r="G20" s="3">
        <v>1</v>
      </c>
      <c r="H20" s="4">
        <v>120000</v>
      </c>
      <c r="I20" s="4">
        <f t="shared" si="0"/>
        <v>120000</v>
      </c>
    </row>
    <row r="21" spans="1:9" x14ac:dyDescent="0.3">
      <c r="A21" s="2" t="s">
        <v>55</v>
      </c>
      <c r="B21" s="3" t="s">
        <v>10</v>
      </c>
      <c r="C21" s="3" t="s">
        <v>11</v>
      </c>
      <c r="D21" s="3" t="s">
        <v>16</v>
      </c>
      <c r="E21" s="3" t="s">
        <v>27</v>
      </c>
      <c r="F21" s="3" t="s">
        <v>18</v>
      </c>
      <c r="G21" s="3">
        <v>2</v>
      </c>
      <c r="H21" s="4">
        <v>55000</v>
      </c>
      <c r="I21" s="4">
        <f t="shared" si="0"/>
        <v>110000</v>
      </c>
    </row>
    <row r="22" spans="1:9" x14ac:dyDescent="0.3">
      <c r="A22" s="2" t="s">
        <v>56</v>
      </c>
      <c r="B22" s="3" t="s">
        <v>20</v>
      </c>
      <c r="C22" s="3" t="s">
        <v>11</v>
      </c>
      <c r="D22" s="3" t="s">
        <v>44</v>
      </c>
      <c r="E22" s="3" t="s">
        <v>13</v>
      </c>
      <c r="F22" s="3" t="s">
        <v>14</v>
      </c>
      <c r="G22" s="3">
        <v>3</v>
      </c>
      <c r="H22" s="4">
        <v>65000</v>
      </c>
      <c r="I22" s="4">
        <f t="shared" si="0"/>
        <v>195000</v>
      </c>
    </row>
    <row r="23" spans="1:9" x14ac:dyDescent="0.3">
      <c r="A23" s="2" t="s">
        <v>57</v>
      </c>
      <c r="B23" s="3" t="s">
        <v>24</v>
      </c>
      <c r="C23" s="3" t="s">
        <v>25</v>
      </c>
      <c r="D23" s="3" t="s">
        <v>26</v>
      </c>
      <c r="E23" s="3" t="s">
        <v>17</v>
      </c>
      <c r="F23" s="3" t="s">
        <v>18</v>
      </c>
      <c r="G23" s="3">
        <v>2</v>
      </c>
      <c r="H23" s="4">
        <v>90000</v>
      </c>
      <c r="I23" s="4">
        <f t="shared" si="0"/>
        <v>180000</v>
      </c>
    </row>
    <row r="24" spans="1:9" x14ac:dyDescent="0.3">
      <c r="A24" s="2" t="s">
        <v>58</v>
      </c>
      <c r="B24" s="3" t="s">
        <v>29</v>
      </c>
      <c r="C24" s="3" t="s">
        <v>59</v>
      </c>
      <c r="D24" s="3" t="s">
        <v>42</v>
      </c>
      <c r="E24" s="3" t="s">
        <v>22</v>
      </c>
      <c r="F24" s="3" t="s">
        <v>14</v>
      </c>
      <c r="G24" s="3">
        <v>1</v>
      </c>
      <c r="H24" s="4">
        <v>125000</v>
      </c>
      <c r="I24" s="4">
        <f t="shared" si="0"/>
        <v>125000</v>
      </c>
    </row>
    <row r="25" spans="1:9" x14ac:dyDescent="0.3">
      <c r="A25" s="2" t="s">
        <v>60</v>
      </c>
      <c r="B25" s="3" t="s">
        <v>32</v>
      </c>
      <c r="C25" s="3" t="s">
        <v>11</v>
      </c>
      <c r="D25" s="3" t="s">
        <v>12</v>
      </c>
      <c r="E25" s="3" t="s">
        <v>27</v>
      </c>
      <c r="F25" s="3" t="s">
        <v>18</v>
      </c>
      <c r="G25" s="3">
        <v>3</v>
      </c>
      <c r="H25" s="4">
        <v>70000</v>
      </c>
      <c r="I25" s="4">
        <f t="shared" si="0"/>
        <v>210000</v>
      </c>
    </row>
    <row r="26" spans="1:9" x14ac:dyDescent="0.3">
      <c r="A26" s="2" t="s">
        <v>61</v>
      </c>
      <c r="B26" s="3" t="s">
        <v>35</v>
      </c>
      <c r="C26" s="3" t="s">
        <v>11</v>
      </c>
      <c r="D26" s="3" t="s">
        <v>36</v>
      </c>
      <c r="E26" s="3" t="s">
        <v>13</v>
      </c>
      <c r="F26" s="3" t="s">
        <v>14</v>
      </c>
      <c r="G26" s="3">
        <v>2</v>
      </c>
      <c r="H26" s="4">
        <v>80000</v>
      </c>
      <c r="I26" s="4">
        <f t="shared" si="0"/>
        <v>160000</v>
      </c>
    </row>
    <row r="27" spans="1:9" x14ac:dyDescent="0.3">
      <c r="A27" s="2" t="s">
        <v>62</v>
      </c>
      <c r="B27" s="3" t="s">
        <v>38</v>
      </c>
      <c r="C27" s="3" t="s">
        <v>25</v>
      </c>
      <c r="D27" s="3" t="s">
        <v>49</v>
      </c>
      <c r="E27" s="3" t="s">
        <v>17</v>
      </c>
      <c r="F27" s="3" t="s">
        <v>18</v>
      </c>
      <c r="G27" s="3">
        <v>2</v>
      </c>
      <c r="H27" s="4">
        <v>110000</v>
      </c>
      <c r="I27" s="4">
        <f t="shared" si="0"/>
        <v>220000</v>
      </c>
    </row>
    <row r="28" spans="1:9" x14ac:dyDescent="0.3">
      <c r="A28" s="2" t="s">
        <v>63</v>
      </c>
      <c r="B28" s="3" t="s">
        <v>41</v>
      </c>
      <c r="C28" s="3" t="s">
        <v>25</v>
      </c>
      <c r="D28" s="3" t="s">
        <v>42</v>
      </c>
      <c r="E28" s="3" t="s">
        <v>22</v>
      </c>
      <c r="F28" s="3" t="s">
        <v>14</v>
      </c>
      <c r="G28" s="3">
        <v>2</v>
      </c>
      <c r="H28" s="4">
        <v>120000</v>
      </c>
      <c r="I28" s="4">
        <f t="shared" si="0"/>
        <v>240000</v>
      </c>
    </row>
    <row r="29" spans="1:9" x14ac:dyDescent="0.3">
      <c r="A29" s="2" t="s">
        <v>64</v>
      </c>
      <c r="B29" s="3" t="s">
        <v>10</v>
      </c>
      <c r="C29" s="3" t="s">
        <v>11</v>
      </c>
      <c r="D29" s="3" t="s">
        <v>21</v>
      </c>
      <c r="E29" s="3" t="s">
        <v>27</v>
      </c>
      <c r="F29" s="3" t="s">
        <v>18</v>
      </c>
      <c r="G29" s="3">
        <v>3</v>
      </c>
      <c r="H29" s="4">
        <v>55000</v>
      </c>
      <c r="I29" s="4">
        <f t="shared" si="0"/>
        <v>165000</v>
      </c>
    </row>
    <row r="30" spans="1:9" x14ac:dyDescent="0.3">
      <c r="A30" s="2" t="s">
        <v>65</v>
      </c>
      <c r="B30" s="3" t="s">
        <v>20</v>
      </c>
      <c r="C30" s="3" t="s">
        <v>11</v>
      </c>
      <c r="D30" s="3" t="s">
        <v>16</v>
      </c>
      <c r="E30" s="3" t="s">
        <v>13</v>
      </c>
      <c r="F30" s="3" t="s">
        <v>14</v>
      </c>
      <c r="G30" s="3">
        <v>2</v>
      </c>
      <c r="H30" s="4">
        <v>65000</v>
      </c>
      <c r="I30" s="4">
        <f t="shared" si="0"/>
        <v>130000</v>
      </c>
    </row>
    <row r="31" spans="1:9" x14ac:dyDescent="0.3">
      <c r="A31" s="2" t="s">
        <v>66</v>
      </c>
      <c r="B31" s="3" t="s">
        <v>24</v>
      </c>
      <c r="C31" s="3" t="s">
        <v>25</v>
      </c>
      <c r="D31" s="3" t="s">
        <v>30</v>
      </c>
      <c r="E31" s="3" t="s">
        <v>17</v>
      </c>
      <c r="F31" s="3" t="s">
        <v>18</v>
      </c>
      <c r="G31" s="3">
        <v>2</v>
      </c>
      <c r="H31" s="4">
        <v>90000</v>
      </c>
      <c r="I31" s="4">
        <f t="shared" si="0"/>
        <v>180000</v>
      </c>
    </row>
    <row r="32" spans="1:9" x14ac:dyDescent="0.3">
      <c r="A32" s="2" t="s">
        <v>67</v>
      </c>
      <c r="B32" s="3" t="s">
        <v>29</v>
      </c>
      <c r="C32" s="3" t="s">
        <v>25</v>
      </c>
      <c r="D32" s="3" t="s">
        <v>26</v>
      </c>
      <c r="E32" s="3" t="s">
        <v>22</v>
      </c>
      <c r="F32" s="3" t="s">
        <v>14</v>
      </c>
      <c r="G32" s="3">
        <v>1</v>
      </c>
      <c r="H32" s="4">
        <v>110000</v>
      </c>
      <c r="I32" s="4">
        <f t="shared" si="0"/>
        <v>110000</v>
      </c>
    </row>
    <row r="33" spans="1:9" x14ac:dyDescent="0.3">
      <c r="A33" s="2" t="s">
        <v>68</v>
      </c>
      <c r="B33" s="3" t="s">
        <v>32</v>
      </c>
      <c r="C33" s="3" t="s">
        <v>11</v>
      </c>
      <c r="D33" s="3" t="s">
        <v>21</v>
      </c>
      <c r="E33" s="3" t="s">
        <v>27</v>
      </c>
      <c r="F33" s="3" t="s">
        <v>18</v>
      </c>
      <c r="G33" s="3">
        <v>3</v>
      </c>
      <c r="H33" s="4">
        <v>70000</v>
      </c>
      <c r="I33" s="4">
        <f t="shared" si="0"/>
        <v>210000</v>
      </c>
    </row>
    <row r="34" spans="1:9" x14ac:dyDescent="0.3">
      <c r="A34" s="2" t="s">
        <v>69</v>
      </c>
      <c r="B34" s="3" t="s">
        <v>35</v>
      </c>
      <c r="C34" s="3" t="s">
        <v>11</v>
      </c>
      <c r="D34" s="3" t="s">
        <v>44</v>
      </c>
      <c r="E34" s="3" t="s">
        <v>13</v>
      </c>
      <c r="F34" s="3" t="s">
        <v>14</v>
      </c>
      <c r="G34" s="3">
        <v>2</v>
      </c>
      <c r="H34" s="4">
        <v>80000</v>
      </c>
      <c r="I34" s="4">
        <f t="shared" si="0"/>
        <v>160000</v>
      </c>
    </row>
    <row r="35" spans="1:9" x14ac:dyDescent="0.3">
      <c r="A35" s="2" t="s">
        <v>70</v>
      </c>
      <c r="B35" s="3" t="s">
        <v>38</v>
      </c>
      <c r="C35" s="3" t="s">
        <v>11</v>
      </c>
      <c r="D35" s="3" t="s">
        <v>39</v>
      </c>
      <c r="E35" s="3" t="s">
        <v>17</v>
      </c>
      <c r="F35" s="3" t="s">
        <v>18</v>
      </c>
      <c r="G35" s="3">
        <v>2</v>
      </c>
      <c r="H35" s="4">
        <v>100000</v>
      </c>
      <c r="I35" s="4">
        <f t="shared" si="0"/>
        <v>200000</v>
      </c>
    </row>
    <row r="36" spans="1:9" x14ac:dyDescent="0.3">
      <c r="A36" s="2" t="s">
        <v>71</v>
      </c>
      <c r="B36" s="3" t="s">
        <v>41</v>
      </c>
      <c r="C36" s="3" t="s">
        <v>25</v>
      </c>
      <c r="D36" s="3" t="s">
        <v>49</v>
      </c>
      <c r="E36" s="3" t="s">
        <v>22</v>
      </c>
      <c r="F36" s="3" t="s">
        <v>14</v>
      </c>
      <c r="G36" s="3">
        <v>2</v>
      </c>
      <c r="H36" s="4">
        <v>120000</v>
      </c>
      <c r="I36" s="4">
        <f t="shared" si="0"/>
        <v>240000</v>
      </c>
    </row>
    <row r="37" spans="1:9" x14ac:dyDescent="0.3">
      <c r="A37" s="2" t="s">
        <v>72</v>
      </c>
      <c r="B37" s="3" t="s">
        <v>10</v>
      </c>
      <c r="C37" s="3" t="s">
        <v>25</v>
      </c>
      <c r="D37" s="3" t="s">
        <v>12</v>
      </c>
      <c r="E37" s="3" t="s">
        <v>27</v>
      </c>
      <c r="F37" s="3" t="s">
        <v>18</v>
      </c>
      <c r="G37" s="3">
        <v>3</v>
      </c>
      <c r="H37" s="4">
        <v>65000</v>
      </c>
      <c r="I37" s="4">
        <f t="shared" si="0"/>
        <v>195000</v>
      </c>
    </row>
    <row r="38" spans="1:9" x14ac:dyDescent="0.3">
      <c r="A38" s="2" t="s">
        <v>73</v>
      </c>
      <c r="B38" s="3" t="s">
        <v>20</v>
      </c>
      <c r="C38" s="3" t="s">
        <v>11</v>
      </c>
      <c r="D38" s="3" t="s">
        <v>21</v>
      </c>
      <c r="E38" s="3" t="s">
        <v>13</v>
      </c>
      <c r="F38" s="3" t="s">
        <v>14</v>
      </c>
      <c r="G38" s="3">
        <v>2</v>
      </c>
      <c r="H38" s="4">
        <v>65000</v>
      </c>
      <c r="I38" s="4">
        <f t="shared" si="0"/>
        <v>130000</v>
      </c>
    </row>
    <row r="39" spans="1:9" x14ac:dyDescent="0.3">
      <c r="A39" s="2" t="s">
        <v>74</v>
      </c>
      <c r="B39" s="3" t="s">
        <v>24</v>
      </c>
      <c r="C39" s="3" t="s">
        <v>25</v>
      </c>
      <c r="D39" s="3" t="s">
        <v>26</v>
      </c>
      <c r="E39" s="3" t="s">
        <v>17</v>
      </c>
      <c r="F39" s="3" t="s">
        <v>18</v>
      </c>
      <c r="G39" s="3">
        <v>1</v>
      </c>
      <c r="H39" s="4">
        <v>90000</v>
      </c>
      <c r="I39" s="4">
        <f t="shared" si="0"/>
        <v>90000</v>
      </c>
    </row>
    <row r="40" spans="1:9" x14ac:dyDescent="0.3">
      <c r="A40" s="2" t="s">
        <v>75</v>
      </c>
      <c r="B40" s="3" t="s">
        <v>38</v>
      </c>
      <c r="C40" s="3" t="s">
        <v>25</v>
      </c>
      <c r="D40" s="3" t="s">
        <v>42</v>
      </c>
      <c r="E40" s="3" t="s">
        <v>22</v>
      </c>
      <c r="F40" s="3" t="s">
        <v>14</v>
      </c>
      <c r="G40" s="3">
        <v>2</v>
      </c>
      <c r="H40" s="4">
        <v>110000</v>
      </c>
      <c r="I40" s="4">
        <f t="shared" si="0"/>
        <v>220000</v>
      </c>
    </row>
    <row r="41" spans="1:9" x14ac:dyDescent="0.3">
      <c r="A41" s="2" t="s">
        <v>76</v>
      </c>
      <c r="B41" s="3" t="s">
        <v>41</v>
      </c>
      <c r="C41" s="3" t="s">
        <v>25</v>
      </c>
      <c r="D41" s="3" t="s">
        <v>39</v>
      </c>
      <c r="E41" s="3" t="s">
        <v>27</v>
      </c>
      <c r="F41" s="3" t="s">
        <v>18</v>
      </c>
      <c r="G41" s="3">
        <v>1</v>
      </c>
      <c r="H41" s="4">
        <v>120000</v>
      </c>
      <c r="I41" s="4">
        <f t="shared" si="0"/>
        <v>120000</v>
      </c>
    </row>
  </sheetData>
  <autoFilter ref="A1:I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3" topLeftCell="A4" activePane="bottomLeft" state="frozen"/>
      <selection pane="bottomLeft" activeCell="I22" sqref="I22"/>
    </sheetView>
  </sheetViews>
  <sheetFormatPr defaultRowHeight="14.4" x14ac:dyDescent="0.3"/>
  <cols>
    <col min="1" max="1" width="24" customWidth="1"/>
    <col min="2" max="2" width="14" customWidth="1"/>
    <col min="3" max="3" width="18" customWidth="1"/>
    <col min="4" max="4" width="5" customWidth="1"/>
    <col min="5" max="5" width="20" customWidth="1"/>
    <col min="6" max="8" width="18" customWidth="1"/>
  </cols>
  <sheetData>
    <row r="1" spans="1:8" ht="25.8" x14ac:dyDescent="0.5">
      <c r="A1" s="16" t="s">
        <v>77</v>
      </c>
      <c r="B1" s="15"/>
      <c r="C1" s="15"/>
      <c r="D1" s="15"/>
      <c r="E1" s="15"/>
      <c r="F1" s="15"/>
      <c r="G1" s="15"/>
      <c r="H1" s="15"/>
    </row>
    <row r="3" spans="1:8" ht="18" x14ac:dyDescent="0.35">
      <c r="A3" s="5" t="s">
        <v>78</v>
      </c>
    </row>
    <row r="4" spans="1:8" x14ac:dyDescent="0.3">
      <c r="A4" s="6" t="s">
        <v>79</v>
      </c>
      <c r="C4" s="6" t="s">
        <v>80</v>
      </c>
      <c r="E4" s="6" t="s">
        <v>81</v>
      </c>
      <c r="G4" s="6" t="s">
        <v>82</v>
      </c>
    </row>
    <row r="5" spans="1:8" ht="17.399999999999999" x14ac:dyDescent="0.35">
      <c r="A5" s="7">
        <f>SUM('Sales Data'!I2:I41)</f>
        <v>6480000</v>
      </c>
      <c r="C5" s="8">
        <f>SUM('Sales Data'!G2:G41)</f>
        <v>80</v>
      </c>
      <c r="E5" s="7">
        <f>AVERAGE('Sales Data'!I2:I41)</f>
        <v>162000</v>
      </c>
      <c r="G5" s="8" t="str">
        <f>INDEX(A10:A14,MATCH(MAX(B10:B14),B10:B14,0))</f>
        <v>iPhone 15</v>
      </c>
    </row>
    <row r="8" spans="1:8" ht="18" x14ac:dyDescent="0.35">
      <c r="A8" s="5" t="s">
        <v>83</v>
      </c>
      <c r="E8" s="5" t="s">
        <v>84</v>
      </c>
    </row>
    <row r="9" spans="1:8" x14ac:dyDescent="0.3">
      <c r="A9" s="9" t="s">
        <v>1</v>
      </c>
      <c r="B9" s="9" t="s">
        <v>85</v>
      </c>
      <c r="C9" s="9" t="s">
        <v>86</v>
      </c>
      <c r="E9" s="9" t="s">
        <v>4</v>
      </c>
      <c r="F9" s="9" t="s">
        <v>86</v>
      </c>
    </row>
    <row r="10" spans="1:8" x14ac:dyDescent="0.3">
      <c r="A10" t="s">
        <v>10</v>
      </c>
      <c r="B10">
        <f>SUMIF('Sales Data'!B2:B41,A10,'Sales Data'!G2:G41)</f>
        <v>18</v>
      </c>
      <c r="C10" s="10">
        <f>SUMIF('Sales Data'!B2:B41,A10,'Sales Data'!I2:I41)</f>
        <v>1040000</v>
      </c>
      <c r="E10" t="s">
        <v>13</v>
      </c>
      <c r="F10" s="10">
        <f>SUMIF('Sales Data'!E2:E41,E10,'Sales Data'!I2:I41)</f>
        <v>1540000</v>
      </c>
    </row>
    <row r="11" spans="1:8" x14ac:dyDescent="0.3">
      <c r="A11" t="s">
        <v>20</v>
      </c>
      <c r="B11">
        <f>SUMIF('Sales Data'!B2:B41,A11,'Sales Data'!G2:G41)</f>
        <v>11</v>
      </c>
      <c r="C11" s="10">
        <f>SUMIF('Sales Data'!B2:B41,A11,'Sales Data'!I2:I41)</f>
        <v>715000</v>
      </c>
      <c r="E11" t="s">
        <v>17</v>
      </c>
      <c r="F11" s="10">
        <f>SUMIF('Sales Data'!E2:E41,E11,'Sales Data'!I2:I41)</f>
        <v>1620000</v>
      </c>
    </row>
    <row r="12" spans="1:8" x14ac:dyDescent="0.3">
      <c r="A12" t="s">
        <v>24</v>
      </c>
      <c r="B12">
        <f>SUMIF('Sales Data'!B2:B41,A12,'Sales Data'!G2:G41)</f>
        <v>8</v>
      </c>
      <c r="C12" s="10">
        <f>SUMIF('Sales Data'!B2:B41,A12,'Sales Data'!I2:I41)</f>
        <v>720000</v>
      </c>
      <c r="E12" t="s">
        <v>22</v>
      </c>
      <c r="F12" s="10">
        <f>SUMIF('Sales Data'!E2:E41,E12,'Sales Data'!I2:I41)</f>
        <v>1675000</v>
      </c>
    </row>
    <row r="13" spans="1:8" x14ac:dyDescent="0.3">
      <c r="A13" t="s">
        <v>29</v>
      </c>
      <c r="B13">
        <f>SUMIF('Sales Data'!B2:B41,A13,'Sales Data'!G2:G41)</f>
        <v>5</v>
      </c>
      <c r="C13" s="10">
        <f>SUMIF('Sales Data'!B2:B41,A13,'Sales Data'!I2:I41)</f>
        <v>565000</v>
      </c>
      <c r="E13" t="s">
        <v>27</v>
      </c>
      <c r="F13" s="10">
        <f>SUMIF('Sales Data'!E2:E41,E13,'Sales Data'!I2:I41)</f>
        <v>1645000</v>
      </c>
    </row>
    <row r="14" spans="1:8" x14ac:dyDescent="0.3">
      <c r="A14" t="s">
        <v>32</v>
      </c>
      <c r="B14">
        <f>SUMIF('Sales Data'!B2:B41,A14,'Sales Data'!G2:G41)</f>
        <v>14</v>
      </c>
      <c r="C14" s="10">
        <f>SUMIF('Sales Data'!B2:B41,A14,'Sales Data'!I2:I41)</f>
        <v>980000</v>
      </c>
    </row>
    <row r="15" spans="1:8" x14ac:dyDescent="0.3">
      <c r="A15" t="s">
        <v>35</v>
      </c>
      <c r="B15">
        <f>SUMIF('Sales Data'!B2:B41,A15,'Sales Data'!G2:G41)</f>
        <v>7</v>
      </c>
      <c r="C15" s="10">
        <f>SUMIF('Sales Data'!B2:B41,A15,'Sales Data'!I2:I41)</f>
        <v>560000</v>
      </c>
    </row>
    <row r="16" spans="1:8" ht="18" x14ac:dyDescent="0.35">
      <c r="A16" t="s">
        <v>38</v>
      </c>
      <c r="B16">
        <f>SUMIF('Sales Data'!B2:B41,A16,'Sales Data'!G2:G41)</f>
        <v>10</v>
      </c>
      <c r="C16" s="10">
        <f>SUMIF('Sales Data'!B2:B41,A16,'Sales Data'!I2:I41)</f>
        <v>1060000</v>
      </c>
      <c r="E16" s="5" t="s">
        <v>5</v>
      </c>
    </row>
    <row r="17" spans="1:8" x14ac:dyDescent="0.3">
      <c r="A17" t="s">
        <v>41</v>
      </c>
      <c r="B17">
        <f>SUMIF('Sales Data'!B2:B41,A17,'Sales Data'!G2:G41)</f>
        <v>7</v>
      </c>
      <c r="C17" s="10">
        <f>SUMIF('Sales Data'!B2:B41,A17,'Sales Data'!I2:I41)</f>
        <v>840000</v>
      </c>
      <c r="E17" s="9" t="s">
        <v>87</v>
      </c>
      <c r="F17" s="9" t="s">
        <v>85</v>
      </c>
    </row>
    <row r="18" spans="1:8" x14ac:dyDescent="0.3">
      <c r="E18" t="s">
        <v>14</v>
      </c>
      <c r="F18">
        <f>SUMIF('Sales Data'!F2:F41,E18,'Sales Data'!G2:G41)</f>
        <v>38</v>
      </c>
    </row>
    <row r="19" spans="1:8" x14ac:dyDescent="0.3">
      <c r="E19" t="s">
        <v>18</v>
      </c>
      <c r="F19">
        <f>SUMIF('Sales Data'!F2:F41,E19,'Sales Data'!G2:G41)</f>
        <v>42</v>
      </c>
    </row>
    <row r="21" spans="1:8" ht="18" x14ac:dyDescent="0.35">
      <c r="A21" s="5" t="s">
        <v>88</v>
      </c>
    </row>
    <row r="22" spans="1:8" x14ac:dyDescent="0.3">
      <c r="A22" s="15" t="s">
        <v>89</v>
      </c>
      <c r="B22" s="15"/>
      <c r="C22" s="15"/>
      <c r="D22" s="15"/>
      <c r="E22" s="15"/>
      <c r="F22" s="15"/>
      <c r="G22" s="15"/>
      <c r="H22" s="15"/>
    </row>
    <row r="23" spans="1:8" x14ac:dyDescent="0.3">
      <c r="A23" s="15" t="s">
        <v>90</v>
      </c>
      <c r="B23" s="15"/>
      <c r="C23" s="15"/>
      <c r="D23" s="15"/>
      <c r="E23" s="15"/>
      <c r="F23" s="15"/>
      <c r="G23" s="15"/>
      <c r="H23" s="15"/>
    </row>
    <row r="24" spans="1:8" x14ac:dyDescent="0.3">
      <c r="A24" s="15" t="s">
        <v>91</v>
      </c>
      <c r="B24" s="15"/>
      <c r="C24" s="15"/>
      <c r="D24" s="15"/>
      <c r="E24" s="15"/>
      <c r="F24" s="15"/>
      <c r="G24" s="15"/>
      <c r="H24" s="15"/>
    </row>
    <row r="25" spans="1:8" x14ac:dyDescent="0.3">
      <c r="A25" s="15" t="s">
        <v>92</v>
      </c>
      <c r="B25" s="15"/>
      <c r="C25" s="15"/>
      <c r="D25" s="15"/>
      <c r="E25" s="15"/>
      <c r="F25" s="15"/>
      <c r="G25" s="15"/>
      <c r="H25" s="15"/>
    </row>
    <row r="26" spans="1:8" x14ac:dyDescent="0.3">
      <c r="A26" s="15" t="s">
        <v>93</v>
      </c>
      <c r="B26" s="15"/>
      <c r="C26" s="15"/>
      <c r="D26" s="15"/>
      <c r="E26" s="15"/>
      <c r="F26" s="15"/>
      <c r="G26" s="15"/>
      <c r="H26" s="15"/>
    </row>
  </sheetData>
  <mergeCells count="6">
    <mergeCell ref="A26:H26"/>
    <mergeCell ref="A25:H25"/>
    <mergeCell ref="A24:H24"/>
    <mergeCell ref="A1:H1"/>
    <mergeCell ref="A23:H23"/>
    <mergeCell ref="A22:H2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3" topLeftCell="A10" activePane="bottomLeft" state="frozen"/>
      <selection pane="bottomLeft" activeCell="M16" sqref="M16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4" width="22" customWidth="1"/>
    <col min="5" max="5" width="4" customWidth="1"/>
    <col min="6" max="6" width="18" customWidth="1"/>
    <col min="7" max="7" width="14" customWidth="1"/>
    <col min="8" max="8" width="18" customWidth="1"/>
  </cols>
  <sheetData>
    <row r="1" spans="1:8" ht="25.8" x14ac:dyDescent="0.5">
      <c r="A1" s="16" t="s">
        <v>94</v>
      </c>
      <c r="B1" s="15"/>
      <c r="C1" s="15"/>
      <c r="D1" s="15"/>
      <c r="E1" s="15"/>
      <c r="F1" s="15"/>
      <c r="G1" s="15"/>
      <c r="H1" s="15"/>
    </row>
    <row r="3" spans="1:8" ht="18" x14ac:dyDescent="0.35">
      <c r="A3" s="5" t="s">
        <v>95</v>
      </c>
      <c r="F3" s="5" t="s">
        <v>96</v>
      </c>
    </row>
    <row r="4" spans="1:8" x14ac:dyDescent="0.3">
      <c r="A4" s="12" t="s">
        <v>1</v>
      </c>
      <c r="B4" s="12" t="s">
        <v>6</v>
      </c>
      <c r="C4" s="12" t="s">
        <v>8</v>
      </c>
      <c r="D4" s="12" t="s">
        <v>97</v>
      </c>
      <c r="F4" s="12" t="s">
        <v>4</v>
      </c>
      <c r="G4" s="12" t="s">
        <v>6</v>
      </c>
      <c r="H4" s="12" t="s">
        <v>8</v>
      </c>
    </row>
    <row r="5" spans="1:8" x14ac:dyDescent="0.3">
      <c r="A5" t="s">
        <v>10</v>
      </c>
      <c r="B5">
        <f>SUMIF('Sales Data'!B2:B41,A5,'Sales Data'!G2:G41)</f>
        <v>18</v>
      </c>
      <c r="C5" s="10">
        <f>SUMIF('Sales Data'!B2:B41,A5,'Sales Data'!I2:I41)</f>
        <v>1040000</v>
      </c>
      <c r="D5" s="10">
        <f>IFERROR(C5/COUNTIF('Sales Data'!B2:B41,A5),0)</f>
        <v>148571.42857142858</v>
      </c>
      <c r="F5" t="s">
        <v>13</v>
      </c>
      <c r="G5">
        <f>SUMIF('Sales Data'!E2:E41,F5,'Sales Data'!G2:G41)</f>
        <v>21</v>
      </c>
      <c r="H5" s="10">
        <f>SUMIF('Sales Data'!E2:E41,F5,'Sales Data'!I2:I41)</f>
        <v>1540000</v>
      </c>
    </row>
    <row r="6" spans="1:8" x14ac:dyDescent="0.3">
      <c r="A6" t="s">
        <v>20</v>
      </c>
      <c r="B6">
        <f>SUMIF('Sales Data'!B2:B41,A6,'Sales Data'!G2:G41)</f>
        <v>11</v>
      </c>
      <c r="C6" s="10">
        <f>SUMIF('Sales Data'!B2:B41,A6,'Sales Data'!I2:I41)</f>
        <v>715000</v>
      </c>
      <c r="D6" s="10">
        <f>IFERROR(C6/COUNTIF('Sales Data'!B2:B41,A6),0)</f>
        <v>143000</v>
      </c>
      <c r="F6" t="s">
        <v>17</v>
      </c>
      <c r="G6">
        <f>SUMIF('Sales Data'!E2:E41,F6,'Sales Data'!G2:G41)</f>
        <v>18</v>
      </c>
      <c r="H6" s="10">
        <f>SUMIF('Sales Data'!E2:E41,F6,'Sales Data'!I2:I41)</f>
        <v>1620000</v>
      </c>
    </row>
    <row r="7" spans="1:8" x14ac:dyDescent="0.3">
      <c r="A7" t="s">
        <v>24</v>
      </c>
      <c r="B7">
        <f>SUMIF('Sales Data'!B2:B41,A7,'Sales Data'!G2:G41)</f>
        <v>8</v>
      </c>
      <c r="C7" s="10">
        <f>SUMIF('Sales Data'!B2:B41,A7,'Sales Data'!I2:I41)</f>
        <v>720000</v>
      </c>
      <c r="D7" s="10">
        <f>IFERROR(C7/COUNTIF('Sales Data'!B2:B41,A7),0)</f>
        <v>144000</v>
      </c>
      <c r="F7" t="s">
        <v>22</v>
      </c>
      <c r="G7">
        <f>SUMIF('Sales Data'!E2:E41,F7,'Sales Data'!G2:G41)</f>
        <v>17</v>
      </c>
      <c r="H7" s="10">
        <f>SUMIF('Sales Data'!E2:E41,F7,'Sales Data'!I2:I41)</f>
        <v>1675000</v>
      </c>
    </row>
    <row r="8" spans="1:8" x14ac:dyDescent="0.3">
      <c r="A8" t="s">
        <v>29</v>
      </c>
      <c r="B8">
        <f>SUMIF('Sales Data'!B2:B41,A8,'Sales Data'!G2:G41)</f>
        <v>5</v>
      </c>
      <c r="C8" s="10">
        <f>SUMIF('Sales Data'!B2:B41,A8,'Sales Data'!I2:I41)</f>
        <v>565000</v>
      </c>
      <c r="D8" s="10">
        <f>IFERROR(C8/COUNTIF('Sales Data'!B2:B41,A8),0)</f>
        <v>141250</v>
      </c>
      <c r="F8" t="s">
        <v>27</v>
      </c>
      <c r="G8">
        <f>SUMIF('Sales Data'!E2:E41,F8,'Sales Data'!G2:G41)</f>
        <v>24</v>
      </c>
      <c r="H8" s="10">
        <f>SUMIF('Sales Data'!E2:E41,F8,'Sales Data'!I2:I41)</f>
        <v>1645000</v>
      </c>
    </row>
    <row r="9" spans="1:8" x14ac:dyDescent="0.3">
      <c r="A9" t="s">
        <v>32</v>
      </c>
      <c r="B9">
        <f>SUMIF('Sales Data'!B2:B41,A9,'Sales Data'!G2:G41)</f>
        <v>14</v>
      </c>
      <c r="C9" s="10">
        <f>SUMIF('Sales Data'!B2:B41,A9,'Sales Data'!I2:I41)</f>
        <v>980000</v>
      </c>
      <c r="D9" s="10">
        <f>IFERROR(C9/COUNTIF('Sales Data'!B2:B41,A9),0)</f>
        <v>196000</v>
      </c>
    </row>
    <row r="10" spans="1:8" x14ac:dyDescent="0.3">
      <c r="A10" t="s">
        <v>35</v>
      </c>
      <c r="B10">
        <f>SUMIF('Sales Data'!B2:B41,A10,'Sales Data'!G2:G41)</f>
        <v>7</v>
      </c>
      <c r="C10" s="10">
        <f>SUMIF('Sales Data'!B2:B41,A10,'Sales Data'!I2:I41)</f>
        <v>560000</v>
      </c>
      <c r="D10" s="10">
        <f>IFERROR(C10/COUNTIF('Sales Data'!B2:B41,A10),0)</f>
        <v>140000</v>
      </c>
    </row>
    <row r="11" spans="1:8" x14ac:dyDescent="0.3">
      <c r="A11" t="s">
        <v>38</v>
      </c>
      <c r="B11">
        <f>SUMIF('Sales Data'!B2:B41,A11,'Sales Data'!G2:G41)</f>
        <v>10</v>
      </c>
      <c r="C11" s="10">
        <f>SUMIF('Sales Data'!B2:B41,A11,'Sales Data'!I2:I41)</f>
        <v>1060000</v>
      </c>
      <c r="D11" s="10">
        <f>IFERROR(C11/COUNTIF('Sales Data'!B2:B41,A11),0)</f>
        <v>212000</v>
      </c>
    </row>
    <row r="12" spans="1:8" x14ac:dyDescent="0.3">
      <c r="A12" t="s">
        <v>41</v>
      </c>
      <c r="B12">
        <f>SUMIF('Sales Data'!B2:B41,A12,'Sales Data'!G2:G41)</f>
        <v>7</v>
      </c>
      <c r="C12" s="10">
        <f>SUMIF('Sales Data'!B2:B41,A12,'Sales Data'!I2:I41)</f>
        <v>840000</v>
      </c>
      <c r="D12" s="10">
        <f>IFERROR(C12/COUNTIF('Sales Data'!B2:B41,A12),0)</f>
        <v>168000</v>
      </c>
    </row>
    <row r="15" spans="1:8" ht="18" x14ac:dyDescent="0.35">
      <c r="A15" s="5" t="s">
        <v>98</v>
      </c>
      <c r="F15" s="5" t="s">
        <v>99</v>
      </c>
    </row>
    <row r="16" spans="1:8" x14ac:dyDescent="0.3">
      <c r="A16" s="12" t="s">
        <v>87</v>
      </c>
      <c r="B16" s="12" t="s">
        <v>6</v>
      </c>
      <c r="C16" s="12" t="s">
        <v>8</v>
      </c>
      <c r="F16" s="12" t="s">
        <v>100</v>
      </c>
      <c r="G16" s="12" t="s">
        <v>8</v>
      </c>
    </row>
    <row r="17" spans="1:7" x14ac:dyDescent="0.3">
      <c r="A17" t="s">
        <v>14</v>
      </c>
      <c r="B17">
        <f>SUMIF('Sales Data'!F2:F41,A17,'Sales Data'!G2:G41)</f>
        <v>38</v>
      </c>
      <c r="C17" s="10">
        <f>SUMIF('Sales Data'!F2:F41,A17,'Sales Data'!I2:I41)</f>
        <v>3215000</v>
      </c>
      <c r="F17" t="s">
        <v>101</v>
      </c>
      <c r="G17" s="10">
        <f>SUMPRODUCT((MONTH('Sales Data'!A2:A41)=1)*(YEAR('Sales Data'!A2:A41)=2026)*'Sales Data'!I2:I41)</f>
        <v>1575000</v>
      </c>
    </row>
    <row r="18" spans="1:7" x14ac:dyDescent="0.3">
      <c r="A18" t="s">
        <v>18</v>
      </c>
      <c r="B18">
        <f>SUMIF('Sales Data'!F2:F41,A18,'Sales Data'!G2:G41)</f>
        <v>42</v>
      </c>
      <c r="C18" s="10">
        <f>SUMIF('Sales Data'!F2:F41,A18,'Sales Data'!I2:I41)</f>
        <v>3265000</v>
      </c>
      <c r="F18" t="s">
        <v>102</v>
      </c>
      <c r="G18" s="10">
        <f>SUMPRODUCT((MONTH('Sales Data'!A2:A41)=2)*(YEAR('Sales Data'!A2:A41)=2026)*'Sales Data'!I2:I41)</f>
        <v>1620000</v>
      </c>
    </row>
    <row r="19" spans="1:7" x14ac:dyDescent="0.3">
      <c r="F19" t="s">
        <v>103</v>
      </c>
      <c r="G19" s="10">
        <f>SUMPRODUCT((MONTH('Sales Data'!A2:A41)=3)*(YEAR('Sales Data'!A2:A41)=2026)*'Sales Data'!I2:I41)</f>
        <v>1720000</v>
      </c>
    </row>
    <row r="20" spans="1:7" x14ac:dyDescent="0.3">
      <c r="F20" t="s">
        <v>104</v>
      </c>
      <c r="G20" s="10">
        <f>SUMPRODUCT((MONTH('Sales Data'!A2:A41)=4)*(YEAR('Sales Data'!A2:A41)=2026)*'Sales Data'!I2:I41)</f>
        <v>1565000</v>
      </c>
    </row>
  </sheetData>
  <mergeCells count="1">
    <mergeCell ref="A1:H1"/>
  </mergeCells>
  <conditionalFormatting sqref="C5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58" customWidth="1"/>
    <col min="3" max="3" width="55" customWidth="1"/>
    <col min="4" max="6" width="14" customWidth="1"/>
  </cols>
  <sheetData>
    <row r="1" spans="1:6" ht="25.8" x14ac:dyDescent="0.5">
      <c r="A1" s="16" t="s">
        <v>105</v>
      </c>
      <c r="B1" s="15"/>
      <c r="C1" s="15"/>
      <c r="D1" s="15"/>
      <c r="E1" s="15"/>
      <c r="F1" s="15"/>
    </row>
    <row r="3" spans="1:6" x14ac:dyDescent="0.3">
      <c r="A3" s="12" t="s">
        <v>106</v>
      </c>
      <c r="B3" s="12" t="s">
        <v>107</v>
      </c>
      <c r="C3" s="12" t="s">
        <v>108</v>
      </c>
    </row>
    <row r="4" spans="1:6" ht="28.8" x14ac:dyDescent="0.3">
      <c r="A4" s="13" t="s">
        <v>109</v>
      </c>
      <c r="B4" s="13" t="s">
        <v>110</v>
      </c>
      <c r="C4" s="13" t="s">
        <v>111</v>
      </c>
    </row>
    <row r="5" spans="1:6" x14ac:dyDescent="0.3">
      <c r="A5" s="13" t="s">
        <v>112</v>
      </c>
      <c r="B5" s="13" t="s">
        <v>113</v>
      </c>
      <c r="C5" s="13" t="s">
        <v>114</v>
      </c>
    </row>
    <row r="6" spans="1:6" x14ac:dyDescent="0.3">
      <c r="A6" s="13" t="s">
        <v>115</v>
      </c>
      <c r="B6" s="13" t="s">
        <v>116</v>
      </c>
      <c r="C6" s="13" t="s">
        <v>117</v>
      </c>
    </row>
    <row r="7" spans="1:6" x14ac:dyDescent="0.3">
      <c r="A7" s="13" t="s">
        <v>118</v>
      </c>
      <c r="B7" s="13" t="s">
        <v>119</v>
      </c>
      <c r="C7" s="13" t="s">
        <v>120</v>
      </c>
    </row>
    <row r="8" spans="1:6" x14ac:dyDescent="0.3">
      <c r="A8" s="13" t="s">
        <v>121</v>
      </c>
      <c r="B8" s="13" t="s">
        <v>122</v>
      </c>
      <c r="C8" s="13" t="s">
        <v>123</v>
      </c>
    </row>
    <row r="11" spans="1:6" ht="18" x14ac:dyDescent="0.35">
      <c r="A11" s="5" t="s">
        <v>124</v>
      </c>
    </row>
    <row r="12" spans="1:6" x14ac:dyDescent="0.3">
      <c r="A12" s="15" t="s">
        <v>125</v>
      </c>
      <c r="B12" s="15"/>
      <c r="C12" s="15"/>
    </row>
    <row r="13" spans="1:6" x14ac:dyDescent="0.3">
      <c r="A13" s="15" t="s">
        <v>126</v>
      </c>
      <c r="B13" s="15"/>
      <c r="C13" s="15"/>
    </row>
    <row r="14" spans="1:6" x14ac:dyDescent="0.3">
      <c r="A14" s="15" t="s">
        <v>127</v>
      </c>
      <c r="B14" s="15"/>
      <c r="C14" s="15"/>
    </row>
    <row r="15" spans="1:6" x14ac:dyDescent="0.3">
      <c r="A15" s="15" t="s">
        <v>128</v>
      </c>
      <c r="B15" s="15"/>
      <c r="C15" s="15"/>
    </row>
    <row r="18" spans="1:6" x14ac:dyDescent="0.3">
      <c r="A18" s="11" t="s">
        <v>129</v>
      </c>
    </row>
    <row r="19" spans="1:6" x14ac:dyDescent="0.3">
      <c r="A19" s="17" t="s">
        <v>130</v>
      </c>
      <c r="B19" s="15"/>
      <c r="C19" s="15"/>
      <c r="D19" s="15"/>
      <c r="E19" s="15"/>
      <c r="F19" s="15"/>
    </row>
    <row r="20" spans="1:6" x14ac:dyDescent="0.3">
      <c r="A20" s="15"/>
      <c r="B20" s="15"/>
      <c r="C20" s="15"/>
      <c r="D20" s="15"/>
      <c r="E20" s="15"/>
      <c r="F20" s="15"/>
    </row>
  </sheetData>
  <mergeCells count="6">
    <mergeCell ref="A13:C13"/>
    <mergeCell ref="A19:F20"/>
    <mergeCell ref="A14:C14"/>
    <mergeCell ref="A1:F1"/>
    <mergeCell ref="A12:C12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A25" sqref="A25"/>
    </sheetView>
  </sheetViews>
  <sheetFormatPr defaultRowHeight="14.4" x14ac:dyDescent="0.3"/>
  <cols>
    <col min="1" max="1" width="24" customWidth="1"/>
    <col min="2" max="2" width="100" customWidth="1"/>
  </cols>
  <sheetData>
    <row r="1" spans="1:2" ht="23.4" x14ac:dyDescent="0.45">
      <c r="A1" s="18" t="s">
        <v>131</v>
      </c>
      <c r="B1" s="15"/>
    </row>
    <row r="3" spans="1:2" x14ac:dyDescent="0.3">
      <c r="A3" s="11" t="s">
        <v>132</v>
      </c>
      <c r="B3" s="14" t="s">
        <v>133</v>
      </c>
    </row>
    <row r="4" spans="1:2" x14ac:dyDescent="0.3">
      <c r="A4" s="11" t="s">
        <v>134</v>
      </c>
      <c r="B4" s="14" t="s">
        <v>135</v>
      </c>
    </row>
    <row r="5" spans="1:2" x14ac:dyDescent="0.3">
      <c r="A5" s="11" t="s">
        <v>136</v>
      </c>
      <c r="B5" s="14" t="s">
        <v>137</v>
      </c>
    </row>
    <row r="6" spans="1:2" x14ac:dyDescent="0.3">
      <c r="A6" s="11" t="s">
        <v>138</v>
      </c>
      <c r="B6" s="14" t="s">
        <v>139</v>
      </c>
    </row>
    <row r="7" spans="1:2" x14ac:dyDescent="0.3">
      <c r="A7" s="11" t="s">
        <v>140</v>
      </c>
      <c r="B7" s="14" t="s">
        <v>141</v>
      </c>
    </row>
    <row r="8" spans="1:2" x14ac:dyDescent="0.3">
      <c r="A8" s="11" t="s">
        <v>142</v>
      </c>
      <c r="B8" t="s">
        <v>143</v>
      </c>
    </row>
    <row r="9" spans="1:2" x14ac:dyDescent="0.3">
      <c r="A9" s="11" t="s">
        <v>142</v>
      </c>
      <c r="B9" s="14" t="s">
        <v>144</v>
      </c>
    </row>
    <row r="10" spans="1:2" x14ac:dyDescent="0.3">
      <c r="A10" s="11"/>
    </row>
    <row r="11" spans="1:2" x14ac:dyDescent="0.3">
      <c r="A11" s="11"/>
    </row>
    <row r="12" spans="1:2" x14ac:dyDescent="0.3">
      <c r="A12" s="11"/>
    </row>
    <row r="13" spans="1:2" x14ac:dyDescent="0.3">
      <c r="A13" s="11"/>
    </row>
    <row r="14" spans="1:2" x14ac:dyDescent="0.3">
      <c r="A14" s="11"/>
    </row>
    <row r="15" spans="1:2" x14ac:dyDescent="0.3">
      <c r="A15" s="11"/>
    </row>
    <row r="16" spans="1:2" x14ac:dyDescent="0.3">
      <c r="A16" s="11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Dashboard</vt:lpstr>
      <vt:lpstr>Analysis</vt:lpstr>
      <vt:lpstr>AI Insights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suhani gautam</cp:lastModifiedBy>
  <dcterms:created xsi:type="dcterms:W3CDTF">2026-08-14T17:21:49Z</dcterms:created>
  <dcterms:modified xsi:type="dcterms:W3CDTF">2026-08-14T18:43:11Z</dcterms:modified>
</cp:coreProperties>
</file>